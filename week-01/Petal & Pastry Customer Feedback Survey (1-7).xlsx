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hliasanchez\Documents\DataAnalytics\week-01\"/>
    </mc:Choice>
  </mc:AlternateContent>
  <xr:revisionPtr revIDLastSave="0" documentId="13_ncr:1_{73F018AF-876D-4E75-82CE-E751560235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H9" i="1"/>
  <c r="D9" i="1"/>
  <c r="D2" i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<sst xmlns="http://schemas.openxmlformats.org/spreadsheetml/2006/main" count="61" uniqueCount="44">
  <si>
    <t>ID</t>
  </si>
  <si>
    <t>Start time</t>
  </si>
  <si>
    <t>Completion time</t>
  </si>
  <si>
    <t>Email</t>
  </si>
  <si>
    <t>Name</t>
  </si>
  <si>
    <t>Last modified time</t>
  </si>
  <si>
    <t>On a scale of 1-5 (5 being the best) how would you rate your overall experience today?</t>
  </si>
  <si>
    <t>How satisfied are you with the service? </t>
  </si>
  <si>
    <t>If you dissatisfied with the service, please explain your situation.</t>
  </si>
  <si>
    <t>On a scale of 1-5 (5 being the best) how would you rate our pastries?</t>
  </si>
  <si>
    <t>What do you enjoy most about Petal and Pastry bakery?</t>
  </si>
  <si>
    <t>If you would like to add any feedback, please do so.</t>
  </si>
  <si>
    <t>jgoode@my.yearupunited.org</t>
  </si>
  <si>
    <t>jeremiah goode</t>
  </si>
  <si>
    <t>Very satisfied</t>
  </si>
  <si>
    <t xml:space="preserve">I had an amazing time at Petal and Pastry, the coffee was extremely hot, but other than that it was amazing. </t>
  </si>
  <si>
    <t>Atmosphere</t>
  </si>
  <si>
    <t xml:space="preserve">Amazing establishment, I am definitely coming back with friends. </t>
  </si>
  <si>
    <t>dlomeli@my.yearupunited.org</t>
  </si>
  <si>
    <t>destiney lomeli</t>
  </si>
  <si>
    <t>Very dissatisfied</t>
  </si>
  <si>
    <t xml:space="preserve">Customer service is horrible! I found a toenail in my pastry along with a booger!!! Unacceptable </t>
  </si>
  <si>
    <t>Pastries</t>
  </si>
  <si>
    <t>Improve customer service and health code violations!</t>
  </si>
  <si>
    <t>sramirez@my.yearupunited.org</t>
  </si>
  <si>
    <t>sthefanie ramirez</t>
  </si>
  <si>
    <t>Somewhat satisfied</t>
  </si>
  <si>
    <t>BHambleton@YearUp.org</t>
  </si>
  <si>
    <t>Bess Hambleton</t>
  </si>
  <si>
    <t>everything!</t>
  </si>
  <si>
    <t>some cushy seats would be nice, thank you</t>
  </si>
  <si>
    <t>bcarrillo-valencia@my.yearupunited.org</t>
  </si>
  <si>
    <t>brandon carrillo-valencia</t>
  </si>
  <si>
    <t>N/A</t>
  </si>
  <si>
    <t>The pastries were really good and very friendly staff</t>
  </si>
  <si>
    <t>nmiranda@my.yearupunited.org</t>
  </si>
  <si>
    <t>natalia miranda</t>
  </si>
  <si>
    <t>ktran1@my.yearupunited.org</t>
  </si>
  <si>
    <t>kevin tran</t>
  </si>
  <si>
    <t>Offer some vegan pastries</t>
  </si>
  <si>
    <t>Time to complete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</si>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</sst>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5" formatCode="[$-409]m/d/yy\ h:mm\ AM/PM;@"/>
    <numFmt numFmtId="166" formatCode="mm:ss.0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m:ss.0;@"/>
    </dxf>
    <dxf>
      <numFmt numFmtId="166" formatCode="mm:ss.0;@"/>
    </dxf>
    <dxf>
      <numFmt numFmtId="165" formatCode="[$-409]m/d/yy\ h:mm\ AM/PM;@"/>
    </dxf>
    <dxf>
      <numFmt numFmtId="165" formatCode="[$-409]m/d/yy\ h:mm\ AM/PM;@"/>
    </dxf>
    <dxf>
      <numFmt numFmtId="165" formatCode="[$-409]m/d/yy\ h:mm\ AM/PM;@"/>
    </dxf>
    <dxf>
      <numFmt numFmtId="165" formatCode="[$-409]m/d/yy\ h:mm\ AM/PM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[Petal &amp; Pastry Customer Feedback Survey (1-7).xlsx]Sheet2!PivotTable3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Somewhat satisfied</c:v>
                </c:pt>
                <c:pt idx="1">
                  <c:v>Very dissatisfied</c:v>
                </c:pt>
                <c:pt idx="2">
                  <c:v>Very satisfied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E-468E-90B9-E245BD0EE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75759"/>
        <c:axId val="59561839"/>
      </c:barChart>
      <c:catAx>
        <c:axId val="595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1839"/>
        <c:crosses val="autoZero"/>
        <c:auto val="1"/>
        <c:lblAlgn val="ctr"/>
        <c:lblOffset val="100"/>
        <c:noMultiLvlLbl val="0"/>
      </c:catAx>
      <c:valAx>
        <c:axId val="5956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[Petal &amp; Pastry Customer Feedback Survey (1-7).xlsx]Sheet2!PivotTable4</c:name>
    <c:fmtId val="0"/>
  </c:pivotSource>
  <c:chart>
    <c:title>
      <c:layout>
        <c:manualLayout>
          <c:xMode val="edge"/>
          <c:yMode val="edge"/>
          <c:x val="0.41194444444444445"/>
          <c:y val="8.6942257217847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Sheet2!$A$22:$A$25</c:f>
              <c:strCache>
                <c:ptCount val="3"/>
                <c:pt idx="0">
                  <c:v>Atmosphere</c:v>
                </c:pt>
                <c:pt idx="1">
                  <c:v>everything!</c:v>
                </c:pt>
                <c:pt idx="2">
                  <c:v>Pastries</c:v>
                </c:pt>
              </c:strCache>
            </c:strRef>
          </c:cat>
          <c:val>
            <c:numRef>
              <c:f>Sheet2!$B$22:$B$25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2-42FE-94C8-1DF6F99B5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133167"/>
        <c:axId val="1213130287"/>
      </c:barChart>
      <c:catAx>
        <c:axId val="12131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30287"/>
        <c:crosses val="autoZero"/>
        <c:auto val="1"/>
        <c:lblAlgn val="ctr"/>
        <c:lblOffset val="100"/>
        <c:noMultiLvlLbl val="0"/>
      </c:catAx>
      <c:valAx>
        <c:axId val="121313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3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3</xdr:row>
      <xdr:rowOff>95250</xdr:rowOff>
    </xdr:from>
    <xdr:to>
      <xdr:col>10</xdr:col>
      <xdr:colOff>393700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E4794-BBB9-BBDD-BCA9-C10E70248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755650</xdr:colOff>
      <xdr:row>19</xdr:row>
      <xdr:rowOff>139700</xdr:rowOff>
    </xdr:from>
    <xdr:to>
      <xdr:col>7</xdr:col>
      <xdr:colOff>247650</xdr:colOff>
      <xdr:row>34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BCAAC7-3B0D-6703-6E2E-056AF9B24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ia sanchez" refreshedDate="46124.636384722224" createdVersion="8" refreshedVersion="8" minRefreshableVersion="3" recordCount="7" xr:uid="{98E4A11B-539D-4C07-9AAD-40A2F35BB409}">
  <cacheSource type="worksheet">
    <worksheetSource name="Table1"/>
  </cacheSource>
  <cacheFields count="13">
    <cacheField name="ID" numFmtId="0">
      <sharedItems containsSemiMixedTypes="0" containsString="0" containsNumber="1" containsInteger="1" minValue="1" maxValue="7"/>
    </cacheField>
    <cacheField name="Start time" numFmtId="165">
      <sharedItems containsSemiMixedTypes="0" containsNonDate="0" containsDate="1" containsString="0" minDate="2026-04-10T10:40:07" maxDate="2026-04-10T20:42:46"/>
    </cacheField>
    <cacheField name="Completion time" numFmtId="165">
      <sharedItems containsSemiMixedTypes="0" containsNonDate="0" containsDate="1" containsString="0" minDate="2026-04-10T10:47:23" maxDate="2026-04-10T20:43:23"/>
    </cacheField>
    <cacheField name="Time to complete" numFmtId="166">
      <sharedItems containsSemiMixedTypes="0" containsNonDate="0" containsDate="1" containsString="0" minDate="1899-12-30T00:00:29" maxDate="1899-12-30T00:07:16"/>
    </cacheField>
    <cacheField name="Email" numFmtId="0">
      <sharedItems/>
    </cacheField>
    <cacheField name="Name" numFmtId="0">
      <sharedItems count="7">
        <s v="jeremiah goode"/>
        <s v="destiney lomeli"/>
        <s v="sthefanie ramirez"/>
        <s v="Bess Hambleton"/>
        <s v="brandon carrillo-valencia"/>
        <s v="natalia miranda"/>
        <s v="kevin tran"/>
      </sharedItems>
    </cacheField>
    <cacheField name="Last modified time" numFmtId="164">
      <sharedItems containsNonDate="0" containsString="0" containsBlank="1"/>
    </cacheField>
    <cacheField name="On a scale of 1-5 (5 being the best) how would you rate your overall experience today?" numFmtId="0">
      <sharedItems containsSemiMixedTypes="0" containsString="0" containsNumber="1" containsInteger="1" minValue="1" maxValue="5" count="3">
        <n v="5"/>
        <n v="1"/>
        <n v="3"/>
      </sharedItems>
    </cacheField>
    <cacheField name="How satisfied are you with the service? " numFmtId="0">
      <sharedItems count="3">
        <s v="Very satisfied"/>
        <s v="Very dissatisfied"/>
        <s v="Somewhat satisfied"/>
      </sharedItems>
    </cacheField>
    <cacheField name="If you dissatisfied with the service, please explain your situation." numFmtId="0">
      <sharedItems containsBlank="1"/>
    </cacheField>
    <cacheField name="On a scale of 1-5 (5 being the best) how would you rate our pastries?" numFmtId="0">
      <sharedItems containsSemiMixedTypes="0" containsString="0" containsNumber="1" containsInteger="1" minValue="3" maxValue="5"/>
    </cacheField>
    <cacheField name="What do you enjoy most about Petal and Pastry bakery?" numFmtId="0">
      <sharedItems count="3">
        <s v="Atmosphere"/>
        <s v="Pastries"/>
        <s v="everything!"/>
      </sharedItems>
    </cacheField>
    <cacheField name="If you would like to add any feedback, please do s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04-10T10:40:07"/>
    <d v="2026-04-10T10:47:23"/>
    <d v="1899-12-30T00:07:16"/>
    <s v="jgoode@my.yearupunited.org"/>
    <x v="0"/>
    <m/>
    <x v="0"/>
    <x v="0"/>
    <s v="I had an amazing time at Petal and Pastry, the coffee was extremely hot, but other than that it was amazing. "/>
    <n v="4"/>
    <x v="0"/>
    <s v="Amazing establishment, I am definitely coming back with friends. "/>
  </r>
  <r>
    <n v="2"/>
    <d v="2026-04-10T11:14:03"/>
    <d v="2026-04-10T11:15:35"/>
    <d v="1899-12-30T00:01:32"/>
    <s v="dlomeli@my.yearupunited.org"/>
    <x v="1"/>
    <m/>
    <x v="1"/>
    <x v="1"/>
    <s v="Customer service is horrible! I found a toenail in my pastry along with a booger!!! Unacceptable "/>
    <n v="3"/>
    <x v="1"/>
    <s v="Improve customer service and health code violations!"/>
  </r>
  <r>
    <n v="3"/>
    <d v="2026-04-10T11:29:05"/>
    <d v="2026-04-10T11:29:43"/>
    <d v="1899-12-30T00:00:38"/>
    <s v="sramirez@my.yearupunited.org"/>
    <x v="2"/>
    <m/>
    <x v="2"/>
    <x v="2"/>
    <m/>
    <n v="3"/>
    <x v="0"/>
    <m/>
  </r>
  <r>
    <n v="4"/>
    <d v="2026-04-10T11:55:50"/>
    <d v="2026-04-10T11:59:24"/>
    <d v="1899-12-30T00:03:34"/>
    <s v="BHambleton@YearUp.org"/>
    <x v="3"/>
    <m/>
    <x v="0"/>
    <x v="0"/>
    <m/>
    <n v="5"/>
    <x v="2"/>
    <s v="some cushy seats would be nice, thank you"/>
  </r>
  <r>
    <n v="5"/>
    <d v="2026-04-10T13:50:34"/>
    <d v="2026-04-10T13:52:14"/>
    <d v="1899-12-30T00:01:40"/>
    <s v="bcarrillo-valencia@my.yearupunited.org"/>
    <x v="4"/>
    <m/>
    <x v="0"/>
    <x v="0"/>
    <s v="N/A"/>
    <n v="4"/>
    <x v="1"/>
    <s v="The pastries were really good and very friendly staff"/>
  </r>
  <r>
    <n v="6"/>
    <d v="2026-04-10T14:55:53"/>
    <d v="2026-04-10T14:56:22"/>
    <d v="1899-12-30T00:00:29"/>
    <s v="nmiranda@my.yearupunited.org"/>
    <x v="5"/>
    <m/>
    <x v="0"/>
    <x v="0"/>
    <m/>
    <n v="4"/>
    <x v="1"/>
    <m/>
  </r>
  <r>
    <n v="7"/>
    <d v="2026-04-10T20:42:46"/>
    <d v="2026-04-10T20:43:23"/>
    <d v="1899-12-30T00:00:37"/>
    <s v="ktran1@my.yearupunited.org"/>
    <x v="6"/>
    <m/>
    <x v="0"/>
    <x v="2"/>
    <m/>
    <n v="4"/>
    <x v="0"/>
    <s v="Offer some vegan pastr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C11CE-5E89-4E2D-BAA1-C883613B84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numFmtId="165" showAll="0"/>
    <pivotField numFmtId="165" showAll="0"/>
    <pivotField numFmtId="166" showAll="0"/>
    <pivotField showAll="0"/>
    <pivotField dataField="1" showAll="0">
      <items count="8">
        <item x="3"/>
        <item x="4"/>
        <item x="1"/>
        <item x="0"/>
        <item x="6"/>
        <item x="5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D78E8-0C87-4794-95E2-203AB570AC4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B25" firstHeaderRow="1" firstDataRow="1" firstDataCol="1"/>
  <pivotFields count="13">
    <pivotField showAll="0"/>
    <pivotField numFmtId="165" showAll="0"/>
    <pivotField numFmtId="165" showAll="0"/>
    <pivotField numFmtId="166" showAll="0"/>
    <pivotField showAll="0"/>
    <pivotField dataField="1" showAll="0">
      <items count="8">
        <item x="3"/>
        <item x="4"/>
        <item x="1"/>
        <item x="0"/>
        <item x="6"/>
        <item x="5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9" totalsRowCount="1">
  <autoFilter ref="A1:M8" xr:uid="{00000000-0009-0000-0100-000001000000}"/>
  <tableColumns count="13">
    <tableColumn id="1" xr3:uid="{00000000-0010-0000-0000-000001000000}" name="ID" dataDxfId="25" totalsRowDxfId="24"/>
    <tableColumn id="2" xr3:uid="{00000000-0010-0000-0000-000002000000}" name="Start time" dataDxfId="23" totalsRowDxfId="22"/>
    <tableColumn id="3" xr3:uid="{00000000-0010-0000-0000-000003000000}" name="Completion time" dataDxfId="21" totalsRowDxfId="20"/>
    <tableColumn id="13" xr3:uid="{944D61EB-895A-4418-BE87-705D2BB99AAE}" name="Time to complete" totalsRowFunction="custom" dataDxfId="19" totalsRowDxfId="18">
      <calculatedColumnFormula>C2-B2</calculatedColumnFormula>
      <totalsRowFormula>AVERAGE(D2:D8)</totalsRowFormula>
    </tableColumn>
    <tableColumn id="4" xr3:uid="{00000000-0010-0000-0000-000004000000}" name="Email" dataDxfId="17" totalsRowDxfId="16"/>
    <tableColumn id="5" xr3:uid="{00000000-0010-0000-0000-000005000000}" name="Name" dataDxfId="15" totalsRowDxfId="14"/>
    <tableColumn id="6" xr3:uid="{00000000-0010-0000-0000-000006000000}" name="Last modified time" dataDxfId="13" totalsRowDxfId="12"/>
    <tableColumn id="7" xr3:uid="{00000000-0010-0000-0000-000007000000}" name="On a scale of 1-5 (5 being the best) how would you rate your overall experience today?" totalsRowFunction="custom" dataDxfId="11" totalsRowDxfId="10">
      <totalsRowFormula>AVERAGE(H2:H8)</totalsRowFormula>
    </tableColumn>
    <tableColumn id="8" xr3:uid="{00000000-0010-0000-0000-000008000000}" name="How satisfied are you with the service? " dataDxfId="9" totalsRowDxfId="8"/>
    <tableColumn id="9" xr3:uid="{00000000-0010-0000-0000-000009000000}" name="If you dissatisfied with the service, please explain your situation." dataDxfId="7" totalsRowDxfId="6"/>
    <tableColumn id="10" xr3:uid="{00000000-0010-0000-0000-00000A000000}" name="On a scale of 1-5 (5 being the best) how would you rate our pastries?" totalsRowFunction="custom" dataDxfId="5" totalsRowDxfId="4">
      <totalsRowFormula>AVERAGE(K2:K8)</totalsRowFormula>
    </tableColumn>
    <tableColumn id="11" xr3:uid="{00000000-0010-0000-0000-00000B000000}" name="What do you enjoy most about Petal and Pastry bakery?" dataDxfId="3" totalsRowDxfId="2"/>
    <tableColumn id="12" xr3:uid="{00000000-0010-0000-0000-00000C000000}" name="If you would like to add any feedback, please do so.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3" sqref="C3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0" bestFit="1" customWidth="1"/>
    <col min="4" max="4" width="20" style="3" customWidth="1"/>
    <col min="5" max="13" width="20" bestFit="1" customWidth="1"/>
  </cols>
  <sheetData>
    <row r="1" spans="1:13" x14ac:dyDescent="0.35">
      <c r="A1" t="s">
        <v>0</v>
      </c>
      <c r="B1" s="2" t="s">
        <v>1</v>
      </c>
      <c r="C1" t="s">
        <v>2</v>
      </c>
      <c r="D1" s="3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 s="2">
        <v>46122.444525462997</v>
      </c>
      <c r="C2" s="2">
        <v>46122.449571759302</v>
      </c>
      <c r="D2" s="3">
        <f t="shared" ref="D2:D8" si="0">C2-B2</f>
        <v>5.0462963044992648E-3</v>
      </c>
      <c r="E2" t="s">
        <v>12</v>
      </c>
      <c r="F2" t="s">
        <v>13</v>
      </c>
      <c r="G2" s="1"/>
      <c r="H2">
        <v>5</v>
      </c>
      <c r="I2" t="s">
        <v>14</v>
      </c>
      <c r="J2" t="s">
        <v>15</v>
      </c>
      <c r="K2">
        <v>4</v>
      </c>
      <c r="L2" t="s">
        <v>16</v>
      </c>
      <c r="M2" t="s">
        <v>17</v>
      </c>
    </row>
    <row r="3" spans="1:13" x14ac:dyDescent="0.35">
      <c r="A3">
        <v>2</v>
      </c>
      <c r="B3" s="2">
        <v>46122.468090277798</v>
      </c>
      <c r="C3" s="2">
        <v>46122.4691550926</v>
      </c>
      <c r="D3" s="3">
        <f t="shared" si="0"/>
        <v>1.0648148017935455E-3</v>
      </c>
      <c r="E3" t="s">
        <v>18</v>
      </c>
      <c r="F3" t="s">
        <v>19</v>
      </c>
      <c r="G3" s="1"/>
      <c r="H3">
        <v>1</v>
      </c>
      <c r="I3" t="s">
        <v>20</v>
      </c>
      <c r="J3" t="s">
        <v>21</v>
      </c>
      <c r="K3">
        <v>3</v>
      </c>
      <c r="L3" t="s">
        <v>22</v>
      </c>
      <c r="M3" t="s">
        <v>23</v>
      </c>
    </row>
    <row r="4" spans="1:13" x14ac:dyDescent="0.35">
      <c r="A4">
        <v>3</v>
      </c>
      <c r="B4" s="2">
        <v>46122.478530092601</v>
      </c>
      <c r="C4" s="2">
        <v>46122.478969907403</v>
      </c>
      <c r="D4" s="3">
        <f t="shared" si="0"/>
        <v>4.3981480121146888E-4</v>
      </c>
      <c r="E4" t="s">
        <v>24</v>
      </c>
      <c r="F4" t="s">
        <v>25</v>
      </c>
      <c r="G4" s="1"/>
      <c r="H4">
        <v>3</v>
      </c>
      <c r="I4" t="s">
        <v>26</v>
      </c>
      <c r="K4">
        <v>3</v>
      </c>
      <c r="L4" t="s">
        <v>16</v>
      </c>
    </row>
    <row r="5" spans="1:13" x14ac:dyDescent="0.35">
      <c r="A5">
        <v>4</v>
      </c>
      <c r="B5" s="2">
        <v>46122.497106481504</v>
      </c>
      <c r="C5" s="2">
        <v>46122.499583333301</v>
      </c>
      <c r="D5" s="3">
        <f t="shared" si="0"/>
        <v>2.4768517978372984E-3</v>
      </c>
      <c r="E5" t="s">
        <v>27</v>
      </c>
      <c r="F5" t="s">
        <v>28</v>
      </c>
      <c r="G5" s="1"/>
      <c r="H5">
        <v>5</v>
      </c>
      <c r="I5" t="s">
        <v>14</v>
      </c>
      <c r="K5">
        <v>5</v>
      </c>
      <c r="L5" t="s">
        <v>29</v>
      </c>
      <c r="M5" t="s">
        <v>30</v>
      </c>
    </row>
    <row r="6" spans="1:13" x14ac:dyDescent="0.35">
      <c r="A6">
        <v>5</v>
      </c>
      <c r="B6" s="2">
        <v>46122.576782407399</v>
      </c>
      <c r="C6" s="2">
        <v>46122.577939814801</v>
      </c>
      <c r="D6" s="3">
        <f t="shared" si="0"/>
        <v>1.1574074014788494E-3</v>
      </c>
      <c r="E6" t="s">
        <v>31</v>
      </c>
      <c r="F6" t="s">
        <v>32</v>
      </c>
      <c r="G6" s="1"/>
      <c r="H6">
        <v>5</v>
      </c>
      <c r="I6" t="s">
        <v>14</v>
      </c>
      <c r="J6" t="s">
        <v>33</v>
      </c>
      <c r="K6">
        <v>4</v>
      </c>
      <c r="L6" t="s">
        <v>22</v>
      </c>
      <c r="M6" t="s">
        <v>34</v>
      </c>
    </row>
    <row r="7" spans="1:13" x14ac:dyDescent="0.35">
      <c r="A7">
        <v>6</v>
      </c>
      <c r="B7" s="2">
        <v>46122.622141203698</v>
      </c>
      <c r="C7" s="2">
        <v>46122.622476851902</v>
      </c>
      <c r="D7" s="3">
        <f t="shared" si="0"/>
        <v>3.3564820478204638E-4</v>
      </c>
      <c r="E7" t="s">
        <v>35</v>
      </c>
      <c r="F7" t="s">
        <v>36</v>
      </c>
      <c r="G7" s="1"/>
      <c r="H7">
        <v>5</v>
      </c>
      <c r="I7" t="s">
        <v>14</v>
      </c>
      <c r="K7">
        <v>4</v>
      </c>
      <c r="L7" t="s">
        <v>22</v>
      </c>
    </row>
    <row r="8" spans="1:13" x14ac:dyDescent="0.35">
      <c r="A8">
        <v>7</v>
      </c>
      <c r="B8" s="2">
        <v>46122.863032407397</v>
      </c>
      <c r="C8" s="2">
        <v>46122.863460648099</v>
      </c>
      <c r="D8" s="3">
        <f t="shared" si="0"/>
        <v>4.2824070260394365E-4</v>
      </c>
      <c r="E8" t="s">
        <v>37</v>
      </c>
      <c r="F8" t="s">
        <v>38</v>
      </c>
      <c r="G8" s="1"/>
      <c r="H8">
        <v>5</v>
      </c>
      <c r="I8" t="s">
        <v>26</v>
      </c>
      <c r="K8">
        <v>4</v>
      </c>
      <c r="L8" t="s">
        <v>16</v>
      </c>
      <c r="M8" t="s">
        <v>39</v>
      </c>
    </row>
    <row r="9" spans="1:13" x14ac:dyDescent="0.35">
      <c r="C9" s="2"/>
      <c r="D9" s="3">
        <f>AVERAGE(D2:D8)</f>
        <v>1.5641534306009167E-3</v>
      </c>
      <c r="G9" s="1"/>
      <c r="H9">
        <f>AVERAGE(H2:H8)</f>
        <v>4.1428571428571432</v>
      </c>
      <c r="K9">
        <f>AVERAGE(K2:K8)</f>
        <v>3.8571428571428572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5470-03F9-4B47-BE73-F75AA63629B2}">
  <dimension ref="A3:B25"/>
  <sheetViews>
    <sheetView topLeftCell="A16" workbookViewId="0">
      <selection activeCell="A21" sqref="A21"/>
    </sheetView>
  </sheetViews>
  <sheetFormatPr defaultRowHeight="14.5" x14ac:dyDescent="0.35"/>
  <cols>
    <col min="1" max="1" width="12.36328125" bestFit="1" customWidth="1"/>
    <col min="2" max="2" width="13.54296875" bestFit="1" customWidth="1"/>
    <col min="3" max="3" width="21.81640625" bestFit="1" customWidth="1"/>
    <col min="4" max="4" width="13.54296875" bestFit="1" customWidth="1"/>
    <col min="5" max="5" width="14" bestFit="1" customWidth="1"/>
    <col min="6" max="6" width="9.26953125" bestFit="1" customWidth="1"/>
    <col min="7" max="7" width="14.08984375" bestFit="1" customWidth="1"/>
    <col min="8" max="8" width="15.54296875" bestFit="1" customWidth="1"/>
    <col min="9" max="9" width="10.7265625" bestFit="1" customWidth="1"/>
  </cols>
  <sheetData>
    <row r="3" spans="1:2" x14ac:dyDescent="0.35">
      <c r="A3" s="4" t="s">
        <v>41</v>
      </c>
      <c r="B3" t="s">
        <v>43</v>
      </c>
    </row>
    <row r="4" spans="1:2" x14ac:dyDescent="0.35">
      <c r="A4" s="5" t="s">
        <v>26</v>
      </c>
      <c r="B4">
        <v>2</v>
      </c>
    </row>
    <row r="5" spans="1:2" x14ac:dyDescent="0.35">
      <c r="A5" s="5" t="s">
        <v>20</v>
      </c>
      <c r="B5">
        <v>1</v>
      </c>
    </row>
    <row r="6" spans="1:2" x14ac:dyDescent="0.35">
      <c r="A6" s="5" t="s">
        <v>14</v>
      </c>
      <c r="B6">
        <v>4</v>
      </c>
    </row>
    <row r="7" spans="1:2" x14ac:dyDescent="0.35">
      <c r="A7" s="5" t="s">
        <v>42</v>
      </c>
      <c r="B7">
        <v>7</v>
      </c>
    </row>
    <row r="21" spans="1:2" x14ac:dyDescent="0.35">
      <c r="A21" s="4" t="s">
        <v>41</v>
      </c>
      <c r="B21" t="s">
        <v>43</v>
      </c>
    </row>
    <row r="22" spans="1:2" x14ac:dyDescent="0.35">
      <c r="A22" s="5" t="s">
        <v>16</v>
      </c>
      <c r="B22">
        <v>3</v>
      </c>
    </row>
    <row r="23" spans="1:2" x14ac:dyDescent="0.35">
      <c r="A23" s="5" t="s">
        <v>29</v>
      </c>
      <c r="B23">
        <v>1</v>
      </c>
    </row>
    <row r="24" spans="1:2" x14ac:dyDescent="0.35">
      <c r="A24" s="5" t="s">
        <v>22</v>
      </c>
      <c r="B24">
        <v>3</v>
      </c>
    </row>
    <row r="25" spans="1:2" x14ac:dyDescent="0.35">
      <c r="A25" s="5" t="s">
        <v>42</v>
      </c>
      <c r="B25">
        <v>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dahlia sanchez</cp:lastModifiedBy>
  <dcterms:created xsi:type="dcterms:W3CDTF">2026-04-12T21:52:03Z</dcterms:created>
  <dcterms:modified xsi:type="dcterms:W3CDTF">2026-04-19T16:59:23Z</dcterms:modified>
</cp:coreProperties>
</file>