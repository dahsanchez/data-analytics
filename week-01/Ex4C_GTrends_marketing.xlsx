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yearuptemp-my.sharepoint.com/personal/dsanchez1_my_yearupunited_org/Documents/"/>
    </mc:Choice>
  </mc:AlternateContent>
  <xr:revisionPtr revIDLastSave="0" documentId="8_{6684850B-2A54-4442-9CF2-BC264999951C}" xr6:coauthVersionLast="47" xr6:coauthVersionMax="47" xr10:uidLastSave="{00000000-0000-0000-0000-000000000000}"/>
  <bookViews>
    <workbookView xWindow="-110" yWindow="-110" windowWidth="19420" windowHeight="11500" firstSheet="2" activeTab="2" xr2:uid="{145BFC04-B76D-437D-95AD-B9755A137C50}"/>
  </bookViews>
  <sheets>
    <sheet name=" by search term" sheetId="1" r:id="rId1"/>
    <sheet name="by state" sheetId="2" r:id="rId2"/>
    <sheet name="sales region lookup" sheetId="3" r:id="rId3"/>
  </sheets>
  <externalReferences>
    <externalReference r:id="rId4"/>
  </externalReferences>
  <definedNames>
    <definedName name="_xlnm._FilterDatabase" localSheetId="0" hidden="1">' by search term'!$A$1:$E$52</definedName>
  </definedNames>
  <calcPr calcId="191028"/>
  <pivotCaches>
    <pivotCache cacheId="4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<sst xmlns="http://schemas.openxmlformats.org/spreadsheetml/2006/main" count="154" uniqueCount="68">
  <si>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RegionID</t>
  </si>
  <si>
    <t>Region</t>
  </si>
  <si>
    <t>Hamburger</t>
  </si>
  <si>
    <t>Milkshake</t>
  </si>
  <si>
    <t>Breakup</t>
  </si>
  <si>
    <t># of Region</t>
  </si>
  <si>
    <t>data 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</si>
  <si>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</si>
  <si>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</si>
  <si>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</si>
  <si>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</si>
  <si>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</si>
  <si>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</si>
  <si>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</si>
  <si>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</si>
  <si>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</si>
  <si>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</si>
  <si>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</si>
  <si>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</si>
  <si>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</si>
  <si>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</si>
  <si>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</si>
  <si>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</si>
  <si>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</si>
  <si>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</si>
  <si>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</si>
  <si>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</si>
  <si>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</si>
  <si>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</si>
  <si>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</si>
  <si>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</si>
  <si>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</si>
  <si>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</si>
  <si>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</si>
  <si>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</si>
  <si>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</si>
  <si>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</si>
  <si>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</si>
  <si>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</si>
  <si>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</si>
  <si>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</si>
  <si>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</si>
  <si>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</si>
  <si>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</si>
  <si>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</si>
  <si>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</si>
  <si>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</si>
  <si>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</si>
  <si>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</si>
  <si>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</si>
  <si>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</si>
  <si>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</si>
  <si>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</si>
  <si>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</si>
  <si>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</si>
  <si>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</si>
  <si>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</si>
  <si>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</si>
  <si>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</si>
  <si>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</si>
  <si>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Sales Region</t>
  </si>
  <si>
    <t>Northwest</t>
  </si>
  <si>
    <t>North Central</t>
  </si>
  <si>
    <t>(All)</t>
  </si>
  <si>
    <t>Row Labels</t>
  </si>
  <si>
    <t>Sum of Hamburger</t>
  </si>
  <si>
    <t>Sum of Milkshake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</si>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</sst>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14" fontId="0" fillId="0" borderId="0" xfId="0" applyNumberFormat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0.69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C-4467-9E1B-6FDCF9382B42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0.15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2C-4467-9E1B-6FDCF938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33999"/>
        <c:axId val="79726799"/>
      </c:barChart>
      <c:catAx>
        <c:axId val="7973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26799"/>
        <c:crosses val="autoZero"/>
        <c:auto val="1"/>
        <c:lblAlgn val="ctr"/>
        <c:lblOffset val="100"/>
        <c:noMultiLvlLbl val="0"/>
      </c:catAx>
      <c:valAx>
        <c:axId val="7972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3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53975</xdr:colOff>
      <xdr:row>10</xdr:row>
      <xdr:rowOff>92075</xdr:rowOff>
    </xdr:from>
    <xdr:to>
      <xdr:col>12</xdr:col>
      <xdr:colOff>358775</xdr:colOff>
      <xdr:row>25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76EED7-24F6-A7CF-5A17-31DD77489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y%20search%20ter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by search term"/>
      <sheetName val="by state"/>
      <sheetName val="GTrends_milkshake_hamburger_202"/>
      <sheetName val="by search term"/>
    </sheetNames>
    <sheetDataSet>
      <sheetData sheetId="0">
        <row r="1">
          <cell r="B1" t="str">
            <v>Region</v>
          </cell>
          <cell r="C1" t="str">
            <v>Hamburger</v>
          </cell>
          <cell r="D1" t="str">
            <v>Milkshake</v>
          </cell>
        </row>
        <row r="2">
          <cell r="B2" t="str">
            <v>Alabama</v>
          </cell>
          <cell r="C2">
            <v>0.64</v>
          </cell>
          <cell r="D2">
            <v>0.24</v>
          </cell>
        </row>
        <row r="3">
          <cell r="B3" t="str">
            <v>Alaska</v>
          </cell>
          <cell r="C3">
            <v>0.72</v>
          </cell>
          <cell r="D3">
            <v>0.15</v>
          </cell>
        </row>
        <row r="4">
          <cell r="B4" t="str">
            <v>Arizona</v>
          </cell>
          <cell r="C4">
            <v>0.67</v>
          </cell>
          <cell r="D4">
            <v>0.19</v>
          </cell>
        </row>
        <row r="5">
          <cell r="B5" t="str">
            <v>Arkansas</v>
          </cell>
          <cell r="C5">
            <v>0.66</v>
          </cell>
          <cell r="D5">
            <v>0.21</v>
          </cell>
        </row>
        <row r="6">
          <cell r="B6" t="str">
            <v>California</v>
          </cell>
          <cell r="C6">
            <v>0.63</v>
          </cell>
          <cell r="D6">
            <v>0.21</v>
          </cell>
        </row>
        <row r="7">
          <cell r="B7" t="str">
            <v>Colorado</v>
          </cell>
          <cell r="C7">
            <v>0.68</v>
          </cell>
          <cell r="D7">
            <v>0.17</v>
          </cell>
        </row>
        <row r="8">
          <cell r="B8" t="str">
            <v>Connecticut</v>
          </cell>
          <cell r="C8">
            <v>0.64</v>
          </cell>
          <cell r="D8">
            <v>0.22</v>
          </cell>
        </row>
        <row r="9">
          <cell r="B9" t="str">
            <v>Delaware</v>
          </cell>
          <cell r="C9">
            <v>0.64</v>
          </cell>
          <cell r="D9">
            <v>0.23</v>
          </cell>
        </row>
        <row r="10">
          <cell r="B10" t="str">
            <v>District of Columbia</v>
          </cell>
          <cell r="C10">
            <v>0.66</v>
          </cell>
          <cell r="D10">
            <v>0.17</v>
          </cell>
        </row>
        <row r="11">
          <cell r="B11" t="str">
            <v>Florida</v>
          </cell>
          <cell r="C11">
            <v>0.63</v>
          </cell>
          <cell r="D11">
            <v>0.23</v>
          </cell>
        </row>
        <row r="12">
          <cell r="B12" t="str">
            <v>Georgia</v>
          </cell>
          <cell r="C12">
            <v>0.62</v>
          </cell>
          <cell r="D12">
            <v>0.24</v>
          </cell>
        </row>
        <row r="13">
          <cell r="B13" t="str">
            <v>Hawaii</v>
          </cell>
          <cell r="C13">
            <v>0.73</v>
          </cell>
          <cell r="D13">
            <v>0.14000000000000001</v>
          </cell>
        </row>
        <row r="14">
          <cell r="B14" t="str">
            <v>Idaho</v>
          </cell>
          <cell r="C14">
            <v>0.67</v>
          </cell>
          <cell r="D14">
            <v>0.2</v>
          </cell>
        </row>
        <row r="15">
          <cell r="B15" t="str">
            <v>Illinois</v>
          </cell>
          <cell r="C15">
            <v>0.63</v>
          </cell>
          <cell r="D15">
            <v>0.23</v>
          </cell>
        </row>
        <row r="16">
          <cell r="B16" t="str">
            <v>Indiana</v>
          </cell>
          <cell r="C16">
            <v>0.62</v>
          </cell>
          <cell r="D16">
            <v>0.24</v>
          </cell>
        </row>
        <row r="17">
          <cell r="B17" t="str">
            <v>Iowa</v>
          </cell>
          <cell r="C17">
            <v>0.68</v>
          </cell>
          <cell r="D17">
            <v>0.19</v>
          </cell>
        </row>
        <row r="18">
          <cell r="B18" t="str">
            <v>Kansas</v>
          </cell>
          <cell r="C18">
            <v>0.66</v>
          </cell>
          <cell r="D18">
            <v>0.2</v>
          </cell>
        </row>
        <row r="19">
          <cell r="B19" t="str">
            <v>Kentucky</v>
          </cell>
          <cell r="C19">
            <v>0.63</v>
          </cell>
          <cell r="D19">
            <v>0.23</v>
          </cell>
        </row>
        <row r="20">
          <cell r="B20" t="str">
            <v>Louisiana</v>
          </cell>
          <cell r="C20">
            <v>0.66</v>
          </cell>
          <cell r="D20">
            <v>0.21</v>
          </cell>
        </row>
        <row r="21">
          <cell r="B21" t="str">
            <v>Maine</v>
          </cell>
          <cell r="C21">
            <v>0.68</v>
          </cell>
          <cell r="D21">
            <v>0.19</v>
          </cell>
        </row>
        <row r="22">
          <cell r="B22" t="str">
            <v>Maryland</v>
          </cell>
          <cell r="C22">
            <v>0.6</v>
          </cell>
          <cell r="D22">
            <v>0.25</v>
          </cell>
        </row>
        <row r="23">
          <cell r="B23" t="str">
            <v>Massachusetts</v>
          </cell>
          <cell r="C23">
            <v>0.62</v>
          </cell>
          <cell r="D23">
            <v>0.21</v>
          </cell>
        </row>
        <row r="24">
          <cell r="B24" t="str">
            <v>Michigan</v>
          </cell>
          <cell r="C24">
            <v>0.67</v>
          </cell>
          <cell r="D24">
            <v>0.21</v>
          </cell>
        </row>
        <row r="25">
          <cell r="B25" t="str">
            <v>Minnesota</v>
          </cell>
          <cell r="C25">
            <v>0.68</v>
          </cell>
          <cell r="D25">
            <v>0.19</v>
          </cell>
        </row>
        <row r="26">
          <cell r="B26" t="str">
            <v>Mississippi</v>
          </cell>
          <cell r="C26">
            <v>0.67</v>
          </cell>
          <cell r="D26">
            <v>0.21</v>
          </cell>
        </row>
        <row r="27">
          <cell r="B27" t="str">
            <v>Missouri</v>
          </cell>
          <cell r="C27">
            <v>0.68</v>
          </cell>
          <cell r="D27">
            <v>0.19</v>
          </cell>
        </row>
        <row r="28">
          <cell r="B28" t="str">
            <v>Montana</v>
          </cell>
          <cell r="C28">
            <v>0.73</v>
          </cell>
          <cell r="D28">
            <v>0.15</v>
          </cell>
        </row>
        <row r="29">
          <cell r="B29" t="str">
            <v>Nebraska</v>
          </cell>
          <cell r="C29">
            <v>0.7</v>
          </cell>
          <cell r="D29">
            <v>0.18</v>
          </cell>
        </row>
        <row r="30">
          <cell r="B30" t="str">
            <v>Nevada</v>
          </cell>
          <cell r="C30">
            <v>0.67</v>
          </cell>
          <cell r="D30">
            <v>0.2</v>
          </cell>
        </row>
        <row r="31">
          <cell r="B31" t="str">
            <v>New Hampshire</v>
          </cell>
          <cell r="C31">
            <v>0.67</v>
          </cell>
          <cell r="D31">
            <v>0.2</v>
          </cell>
        </row>
        <row r="32">
          <cell r="B32" t="str">
            <v>New Jersey</v>
          </cell>
          <cell r="C32">
            <v>0.63</v>
          </cell>
          <cell r="D32">
            <v>0.21</v>
          </cell>
        </row>
        <row r="33">
          <cell r="B33" t="str">
            <v>New Mexico</v>
          </cell>
          <cell r="C33">
            <v>0.67</v>
          </cell>
          <cell r="D33">
            <v>0.19</v>
          </cell>
        </row>
        <row r="34">
          <cell r="B34" t="str">
            <v>New York</v>
          </cell>
          <cell r="C34">
            <v>0.63</v>
          </cell>
          <cell r="D34">
            <v>0.21</v>
          </cell>
        </row>
        <row r="35">
          <cell r="B35" t="str">
            <v>North Carolina</v>
          </cell>
          <cell r="C35">
            <v>0.66</v>
          </cell>
          <cell r="D35">
            <v>0.22</v>
          </cell>
        </row>
        <row r="36">
          <cell r="B36" t="str">
            <v>North Dakota</v>
          </cell>
          <cell r="C36">
            <v>0.69</v>
          </cell>
          <cell r="D36">
            <v>0.19</v>
          </cell>
        </row>
        <row r="37">
          <cell r="B37" t="str">
            <v>Ohio</v>
          </cell>
          <cell r="C37">
            <v>0.65</v>
          </cell>
          <cell r="D37">
            <v>0.22</v>
          </cell>
        </row>
        <row r="38">
          <cell r="B38" t="str">
            <v>Oklahoma</v>
          </cell>
          <cell r="C38">
            <v>0.71</v>
          </cell>
          <cell r="D38">
            <v>0.18</v>
          </cell>
        </row>
        <row r="39">
          <cell r="B39" t="str">
            <v>Oregon</v>
          </cell>
          <cell r="C39">
            <v>0.69</v>
          </cell>
          <cell r="D39">
            <v>0.18</v>
          </cell>
        </row>
        <row r="40">
          <cell r="B40" t="str">
            <v>Pennsylvania</v>
          </cell>
          <cell r="C40">
            <v>0.62</v>
          </cell>
          <cell r="D40">
            <v>0.23</v>
          </cell>
        </row>
        <row r="41">
          <cell r="B41" t="str">
            <v>Rhode Island</v>
          </cell>
          <cell r="C41">
            <v>0.63</v>
          </cell>
          <cell r="D41">
            <v>0.23</v>
          </cell>
        </row>
        <row r="42">
          <cell r="B42" t="str">
            <v>South Carolina</v>
          </cell>
          <cell r="C42">
            <v>0.66</v>
          </cell>
          <cell r="D42">
            <v>0.22</v>
          </cell>
        </row>
        <row r="43">
          <cell r="B43" t="str">
            <v>South Dakota</v>
          </cell>
          <cell r="C43">
            <v>0.75</v>
          </cell>
          <cell r="D43">
            <v>0.14000000000000001</v>
          </cell>
        </row>
        <row r="44">
          <cell r="B44" t="str">
            <v>Tennessee</v>
          </cell>
          <cell r="C44">
            <v>0.65</v>
          </cell>
          <cell r="D44">
            <v>0.22</v>
          </cell>
        </row>
        <row r="45">
          <cell r="B45" t="str">
            <v>Texas</v>
          </cell>
          <cell r="C45">
            <v>0.67</v>
          </cell>
          <cell r="D45">
            <v>0.2</v>
          </cell>
        </row>
        <row r="46">
          <cell r="B46" t="str">
            <v>Utah</v>
          </cell>
          <cell r="C46">
            <v>0.66</v>
          </cell>
          <cell r="D46">
            <v>0.21</v>
          </cell>
        </row>
        <row r="47">
          <cell r="B47" t="str">
            <v>Vermont</v>
          </cell>
          <cell r="C47">
            <v>0.7</v>
          </cell>
          <cell r="D47">
            <v>0.16</v>
          </cell>
        </row>
        <row r="48">
          <cell r="B48" t="str">
            <v>Virginia</v>
          </cell>
          <cell r="C48">
            <v>0.63</v>
          </cell>
          <cell r="D48">
            <v>0.23</v>
          </cell>
        </row>
        <row r="49">
          <cell r="B49" t="str">
            <v>Washington</v>
          </cell>
          <cell r="C49">
            <v>0.68</v>
          </cell>
          <cell r="D49">
            <v>0.18</v>
          </cell>
        </row>
        <row r="50">
          <cell r="B50" t="str">
            <v>West Virginia</v>
          </cell>
          <cell r="C50">
            <v>0.65</v>
          </cell>
          <cell r="D50">
            <v>0.23</v>
          </cell>
        </row>
        <row r="51">
          <cell r="B51" t="str">
            <v>Wisconsin</v>
          </cell>
          <cell r="C51">
            <v>0.66</v>
          </cell>
          <cell r="D51">
            <v>0.2</v>
          </cell>
        </row>
        <row r="52">
          <cell r="B52" t="str">
            <v>Wyoming</v>
          </cell>
          <cell r="C52">
            <v>0.69</v>
          </cell>
          <cell r="D52">
            <v>0.17</v>
          </cell>
        </row>
      </sheetData>
      <sheetData sheetId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hlia sanchez" refreshedDate="46124.597987499998" createdVersion="8" refreshedVersion="8" minRefreshableVersion="3" recordCount="10" xr:uid="{CB179520-1F51-465B-9AC9-E85E06175DC1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8"/>
  </r>
  <r>
    <x v="2"/>
    <x v="0"/>
    <n v="0.67"/>
    <n v="0.2"/>
  </r>
  <r>
    <x v="3"/>
    <x v="0"/>
    <n v="0.73"/>
    <n v="0.15"/>
  </r>
  <r>
    <x v="4"/>
    <x v="1"/>
    <n v="0.69"/>
    <n v="0.19"/>
  </r>
  <r>
    <x v="5"/>
    <x v="1"/>
    <n v="0.75"/>
    <n v="0.14000000000000001"/>
  </r>
  <r>
    <x v="6"/>
    <x v="1"/>
    <n v="0.7"/>
    <n v="0.18"/>
  </r>
  <r>
    <x v="7"/>
    <x v="1"/>
    <n v="0.68"/>
    <n v="0.19"/>
  </r>
  <r>
    <x v="8"/>
    <x v="1"/>
    <n v="0.66"/>
    <n v="0.2"/>
  </r>
  <r>
    <x v="9"/>
    <x v="1"/>
    <n v="0.67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5582F-6F12-49F9-B3D2-66ADEFBB6676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56468-C8F3-4DB6-9613-07BF1EE00970}">
  <dimension ref="A1:K52"/>
  <sheetViews>
    <sheetView workbookViewId="0">
      <pane ySplit="1" topLeftCell="A2" activePane="bottomLeft" state="frozen"/>
      <selection pane="bottomLeft" activeCell="B1" sqref="B1:E52"/>
    </sheetView>
  </sheetViews>
  <sheetFormatPr defaultRowHeight="14.45"/>
  <cols>
    <col min="2" max="2" width="20.140625" bestFit="1" customWidth="1"/>
    <col min="3" max="3" width="13.140625" bestFit="1" customWidth="1"/>
    <col min="4" max="4" width="12.28515625" bestFit="1" customWidth="1"/>
    <col min="5" max="5" width="10.5703125" bestFit="1" customWidth="1"/>
    <col min="7" max="7" width="10.5703125" bestFit="1" customWidth="1"/>
    <col min="10" max="10" width="10.42578125" bestFit="1" customWidth="1"/>
    <col min="11" max="11" width="17.85546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4" t="s">
        <v>6</v>
      </c>
      <c r="K1" t="s">
        <v>7</v>
      </c>
    </row>
    <row r="2" spans="1:11">
      <c r="A2">
        <v>1</v>
      </c>
      <c r="B2" t="s">
        <v>8</v>
      </c>
      <c r="C2" s="1">
        <v>0.64</v>
      </c>
      <c r="D2" s="1">
        <v>0.24</v>
      </c>
      <c r="E2" s="1">
        <v>0.12</v>
      </c>
      <c r="K2" s="3"/>
    </row>
    <row r="3" spans="1:11">
      <c r="A3">
        <v>2</v>
      </c>
      <c r="B3" t="s">
        <v>9</v>
      </c>
      <c r="C3" s="1">
        <v>0.72</v>
      </c>
      <c r="D3" s="1">
        <v>0.15</v>
      </c>
      <c r="E3" s="1">
        <v>0.13</v>
      </c>
    </row>
    <row r="4" spans="1:11">
      <c r="A4">
        <v>3</v>
      </c>
      <c r="B4" t="s">
        <v>10</v>
      </c>
      <c r="C4" s="1">
        <v>0.67</v>
      </c>
      <c r="D4" s="1">
        <v>0.19</v>
      </c>
      <c r="E4" s="1">
        <v>0.14000000000000001</v>
      </c>
    </row>
    <row r="5" spans="1:11">
      <c r="A5">
        <v>4</v>
      </c>
      <c r="B5" t="s">
        <v>11</v>
      </c>
      <c r="C5" s="1">
        <v>0.66</v>
      </c>
      <c r="D5" s="1">
        <v>0.21</v>
      </c>
      <c r="E5" s="1">
        <v>0.13</v>
      </c>
    </row>
    <row r="6" spans="1:11">
      <c r="A6">
        <v>5</v>
      </c>
      <c r="B6" t="s">
        <v>12</v>
      </c>
      <c r="C6" s="1">
        <v>0.63</v>
      </c>
      <c r="D6" s="1">
        <v>0.21</v>
      </c>
      <c r="E6" s="1">
        <v>0.16</v>
      </c>
    </row>
    <row r="7" spans="1:11">
      <c r="A7">
        <v>6</v>
      </c>
      <c r="B7" t="s">
        <v>13</v>
      </c>
      <c r="C7" s="1">
        <v>0.68</v>
      </c>
      <c r="D7" s="1">
        <v>0.17</v>
      </c>
      <c r="E7" s="1">
        <v>0.15</v>
      </c>
    </row>
    <row r="8" spans="1:11">
      <c r="A8">
        <v>7</v>
      </c>
      <c r="B8" t="s">
        <v>14</v>
      </c>
      <c r="C8" s="1">
        <v>0.64</v>
      </c>
      <c r="D8" s="1">
        <v>0.22</v>
      </c>
      <c r="E8" s="1">
        <v>0.14000000000000001</v>
      </c>
    </row>
    <row r="9" spans="1:11">
      <c r="A9">
        <v>8</v>
      </c>
      <c r="B9" t="s">
        <v>15</v>
      </c>
      <c r="C9" s="1">
        <v>0.64</v>
      </c>
      <c r="D9" s="1">
        <v>0.23</v>
      </c>
      <c r="E9" s="1">
        <v>0.13</v>
      </c>
    </row>
    <row r="10" spans="1:11">
      <c r="A10">
        <v>9</v>
      </c>
      <c r="B10" t="s">
        <v>16</v>
      </c>
      <c r="C10" s="1">
        <v>0.66</v>
      </c>
      <c r="D10" s="1">
        <v>0.17</v>
      </c>
      <c r="E10" s="1">
        <v>0.17</v>
      </c>
    </row>
    <row r="11" spans="1:11">
      <c r="A11">
        <v>10</v>
      </c>
      <c r="B11" t="s">
        <v>17</v>
      </c>
      <c r="C11" s="1">
        <v>0.63</v>
      </c>
      <c r="D11" s="1">
        <v>0.23</v>
      </c>
      <c r="E11" s="1">
        <v>0.14000000000000001</v>
      </c>
    </row>
    <row r="12" spans="1:11">
      <c r="A12">
        <v>11</v>
      </c>
      <c r="B12" t="s">
        <v>18</v>
      </c>
      <c r="C12" s="1">
        <v>0.62</v>
      </c>
      <c r="D12" s="1">
        <v>0.24</v>
      </c>
      <c r="E12" s="1">
        <v>0.14000000000000001</v>
      </c>
    </row>
    <row r="13" spans="1:11">
      <c r="A13">
        <v>12</v>
      </c>
      <c r="B13" t="s">
        <v>19</v>
      </c>
      <c r="C13" s="1">
        <v>0.73</v>
      </c>
      <c r="D13" s="1">
        <v>0.14000000000000001</v>
      </c>
      <c r="E13" s="1">
        <v>0.13</v>
      </c>
    </row>
    <row r="14" spans="1:11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>
      <c r="A15">
        <v>14</v>
      </c>
      <c r="B15" t="s">
        <v>21</v>
      </c>
      <c r="C15" s="1">
        <v>0.63</v>
      </c>
      <c r="D15" s="1">
        <v>0.23</v>
      </c>
      <c r="E15" s="1">
        <v>0.14000000000000001</v>
      </c>
    </row>
    <row r="16" spans="1:11">
      <c r="A16">
        <v>15</v>
      </c>
      <c r="B16" t="s">
        <v>22</v>
      </c>
      <c r="C16" s="1">
        <v>0.62</v>
      </c>
      <c r="D16" s="1">
        <v>0.24</v>
      </c>
      <c r="E16" s="1">
        <v>0.14000000000000001</v>
      </c>
    </row>
    <row r="17" spans="1:5">
      <c r="A17">
        <v>16</v>
      </c>
      <c r="B17" t="s">
        <v>23</v>
      </c>
      <c r="C17" s="1">
        <v>0.68</v>
      </c>
      <c r="D17" s="1">
        <v>0.19</v>
      </c>
      <c r="E17" s="1">
        <v>0.13</v>
      </c>
    </row>
    <row r="18" spans="1:5">
      <c r="A18">
        <v>17</v>
      </c>
      <c r="B18" t="s">
        <v>24</v>
      </c>
      <c r="C18" s="1">
        <v>0.66</v>
      </c>
      <c r="D18" s="1">
        <v>0.2</v>
      </c>
      <c r="E18" s="1">
        <v>0.14000000000000001</v>
      </c>
    </row>
    <row r="19" spans="1:5">
      <c r="A19">
        <v>18</v>
      </c>
      <c r="B19" t="s">
        <v>25</v>
      </c>
      <c r="C19" s="1">
        <v>0.63</v>
      </c>
      <c r="D19" s="1">
        <v>0.23</v>
      </c>
      <c r="E19" s="1">
        <v>0.14000000000000001</v>
      </c>
    </row>
    <row r="20" spans="1:5">
      <c r="A20">
        <v>19</v>
      </c>
      <c r="B20" t="s">
        <v>26</v>
      </c>
      <c r="C20" s="1">
        <v>0.66</v>
      </c>
      <c r="D20" s="1">
        <v>0.21</v>
      </c>
      <c r="E20" s="1">
        <v>0.13</v>
      </c>
    </row>
    <row r="21" spans="1:5">
      <c r="A21">
        <v>20</v>
      </c>
      <c r="B21" t="s">
        <v>27</v>
      </c>
      <c r="C21" s="1">
        <v>0.68</v>
      </c>
      <c r="D21" s="1">
        <v>0.19</v>
      </c>
      <c r="E21" s="1">
        <v>0.13</v>
      </c>
    </row>
    <row r="22" spans="1:5">
      <c r="A22">
        <v>21</v>
      </c>
      <c r="B22" t="s">
        <v>28</v>
      </c>
      <c r="C22" s="1">
        <v>0.6</v>
      </c>
      <c r="D22" s="1">
        <v>0.25</v>
      </c>
      <c r="E22" s="1">
        <v>0.15</v>
      </c>
    </row>
    <row r="23" spans="1:5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30</v>
      </c>
      <c r="C24" s="1">
        <v>0.67</v>
      </c>
      <c r="D24" s="1">
        <v>0.21</v>
      </c>
      <c r="E24" s="1">
        <v>0.12</v>
      </c>
    </row>
    <row r="25" spans="1:5">
      <c r="A25">
        <v>24</v>
      </c>
      <c r="B25" t="s">
        <v>31</v>
      </c>
      <c r="C25" s="1">
        <v>0.68</v>
      </c>
      <c r="D25" s="1">
        <v>0.19</v>
      </c>
      <c r="E25" s="1">
        <v>0.13</v>
      </c>
    </row>
    <row r="26" spans="1:5">
      <c r="A26">
        <v>25</v>
      </c>
      <c r="B26" t="s">
        <v>32</v>
      </c>
      <c r="C26" s="1">
        <v>0.67</v>
      </c>
      <c r="D26" s="1">
        <v>0.21</v>
      </c>
      <c r="E26" s="1">
        <v>0.12</v>
      </c>
    </row>
    <row r="27" spans="1:5">
      <c r="A27">
        <v>26</v>
      </c>
      <c r="B27" t="s">
        <v>33</v>
      </c>
      <c r="C27" s="1">
        <v>0.68</v>
      </c>
      <c r="D27" s="1">
        <v>0.19</v>
      </c>
      <c r="E27" s="1">
        <v>0.13</v>
      </c>
    </row>
    <row r="28" spans="1:5">
      <c r="A28">
        <v>27</v>
      </c>
      <c r="B28" t="s">
        <v>34</v>
      </c>
      <c r="C28" s="1">
        <v>0.73</v>
      </c>
      <c r="D28" s="1">
        <v>0.15</v>
      </c>
      <c r="E28" s="1">
        <v>0.12</v>
      </c>
    </row>
    <row r="29" spans="1:5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>
      <c r="A30">
        <v>29</v>
      </c>
      <c r="B30" t="s">
        <v>36</v>
      </c>
      <c r="C30" s="1">
        <v>0.67</v>
      </c>
      <c r="D30" s="1">
        <v>0.2</v>
      </c>
      <c r="E30" s="1">
        <v>0.13</v>
      </c>
    </row>
    <row r="31" spans="1:5">
      <c r="A31">
        <v>30</v>
      </c>
      <c r="B31" t="s">
        <v>37</v>
      </c>
      <c r="C31" s="1">
        <v>0.67</v>
      </c>
      <c r="D31" s="1">
        <v>0.2</v>
      </c>
      <c r="E31" s="1">
        <v>0.13</v>
      </c>
    </row>
    <row r="32" spans="1:5">
      <c r="A32">
        <v>31</v>
      </c>
      <c r="B32" t="s">
        <v>38</v>
      </c>
      <c r="C32" s="1">
        <v>0.63</v>
      </c>
      <c r="D32" s="1">
        <v>0.21</v>
      </c>
      <c r="E32" s="1">
        <v>0.16</v>
      </c>
    </row>
    <row r="33" spans="1: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>
      <c r="A34">
        <v>33</v>
      </c>
      <c r="B34" t="s">
        <v>40</v>
      </c>
      <c r="C34" s="1">
        <v>0.63</v>
      </c>
      <c r="D34" s="1">
        <v>0.21</v>
      </c>
      <c r="E34" s="1">
        <v>0.16</v>
      </c>
    </row>
    <row r="35" spans="1:5">
      <c r="A35">
        <v>34</v>
      </c>
      <c r="B35" t="s">
        <v>41</v>
      </c>
      <c r="C35" s="1">
        <v>0.66</v>
      </c>
      <c r="D35" s="1">
        <v>0.22</v>
      </c>
      <c r="E35" s="1">
        <v>0.12</v>
      </c>
    </row>
    <row r="36" spans="1: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43</v>
      </c>
      <c r="C37" s="1">
        <v>0.65</v>
      </c>
      <c r="D37" s="1">
        <v>0.22</v>
      </c>
      <c r="E37" s="1">
        <v>0.13</v>
      </c>
    </row>
    <row r="38" spans="1:5">
      <c r="A38">
        <v>37</v>
      </c>
      <c r="B38" t="s">
        <v>44</v>
      </c>
      <c r="C38" s="1">
        <v>0.71</v>
      </c>
      <c r="D38" s="1">
        <v>0.18</v>
      </c>
      <c r="E38" s="1">
        <v>0.11</v>
      </c>
    </row>
    <row r="39" spans="1:5">
      <c r="A39">
        <v>38</v>
      </c>
      <c r="B39" t="s">
        <v>45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46</v>
      </c>
      <c r="C40" s="1">
        <v>0.62</v>
      </c>
      <c r="D40" s="1">
        <v>0.23</v>
      </c>
      <c r="E40" s="1">
        <v>0.15</v>
      </c>
    </row>
    <row r="41" spans="1:5">
      <c r="A41">
        <v>40</v>
      </c>
      <c r="B41" t="s">
        <v>47</v>
      </c>
      <c r="C41" s="1">
        <v>0.63</v>
      </c>
      <c r="D41" s="1">
        <v>0.23</v>
      </c>
      <c r="E41" s="1">
        <v>0.14000000000000001</v>
      </c>
    </row>
    <row r="42" spans="1:5">
      <c r="A42">
        <v>41</v>
      </c>
      <c r="B42" t="s">
        <v>48</v>
      </c>
      <c r="C42" s="1">
        <v>0.66</v>
      </c>
      <c r="D42" s="1">
        <v>0.22</v>
      </c>
      <c r="E42" s="1">
        <v>0.12</v>
      </c>
    </row>
    <row r="43" spans="1:5">
      <c r="A43">
        <v>42</v>
      </c>
      <c r="B43" t="s">
        <v>49</v>
      </c>
      <c r="C43" s="1">
        <v>0.75</v>
      </c>
      <c r="D43" s="1">
        <v>0.14000000000000001</v>
      </c>
      <c r="E43" s="1">
        <v>0.11</v>
      </c>
    </row>
    <row r="44" spans="1:5">
      <c r="A44">
        <v>43</v>
      </c>
      <c r="B44" t="s">
        <v>50</v>
      </c>
      <c r="C44" s="1">
        <v>0.65</v>
      </c>
      <c r="D44" s="1">
        <v>0.22</v>
      </c>
      <c r="E44" s="1">
        <v>0.13</v>
      </c>
    </row>
    <row r="45" spans="1:5">
      <c r="A45">
        <v>44</v>
      </c>
      <c r="B45" t="s">
        <v>51</v>
      </c>
      <c r="C45" s="1">
        <v>0.67</v>
      </c>
      <c r="D45" s="1">
        <v>0.2</v>
      </c>
      <c r="E45" s="1">
        <v>0.13</v>
      </c>
    </row>
    <row r="46" spans="1:5">
      <c r="A46">
        <v>45</v>
      </c>
      <c r="B46" t="s">
        <v>52</v>
      </c>
      <c r="C46" s="1">
        <v>0.66</v>
      </c>
      <c r="D46" s="1">
        <v>0.21</v>
      </c>
      <c r="E46" s="1">
        <v>0.13</v>
      </c>
    </row>
    <row r="47" spans="1:5">
      <c r="A47">
        <v>46</v>
      </c>
      <c r="B47" t="s">
        <v>53</v>
      </c>
      <c r="C47" s="1">
        <v>0.7</v>
      </c>
      <c r="D47" s="1">
        <v>0.16</v>
      </c>
      <c r="E47" s="1">
        <v>0.14000000000000001</v>
      </c>
    </row>
    <row r="48" spans="1:5">
      <c r="A48">
        <v>47</v>
      </c>
      <c r="B48" t="s">
        <v>54</v>
      </c>
      <c r="C48" s="1">
        <v>0.63</v>
      </c>
      <c r="D48" s="1">
        <v>0.23</v>
      </c>
      <c r="E48" s="1">
        <v>0.14000000000000001</v>
      </c>
    </row>
    <row r="49" spans="1:5">
      <c r="A49">
        <v>48</v>
      </c>
      <c r="B49" t="s">
        <v>55</v>
      </c>
      <c r="C49" s="1">
        <v>0.68</v>
      </c>
      <c r="D49" s="1">
        <v>0.18</v>
      </c>
      <c r="E49" s="1">
        <v>0.14000000000000001</v>
      </c>
    </row>
    <row r="50" spans="1:5">
      <c r="A50">
        <v>49</v>
      </c>
      <c r="B50" t="s">
        <v>56</v>
      </c>
      <c r="C50" s="1">
        <v>0.65</v>
      </c>
      <c r="D50" s="1">
        <v>0.23</v>
      </c>
      <c r="E50" s="1">
        <v>0.12</v>
      </c>
    </row>
    <row r="51" spans="1:5">
      <c r="A51">
        <v>50</v>
      </c>
      <c r="B51" t="s">
        <v>57</v>
      </c>
      <c r="C51" s="1">
        <v>0.66</v>
      </c>
      <c r="D51" s="1">
        <v>0.2</v>
      </c>
      <c r="E51" s="1">
        <v>0.14000000000000001</v>
      </c>
    </row>
    <row r="52" spans="1:5">
      <c r="A52">
        <v>51</v>
      </c>
      <c r="B52" t="s">
        <v>58</v>
      </c>
      <c r="C52" s="1">
        <v>0.69</v>
      </c>
      <c r="D52" s="1">
        <v>0.17</v>
      </c>
      <c r="E52" s="1">
        <v>0.14000000000000001</v>
      </c>
    </row>
  </sheetData>
  <autoFilter ref="A1:E52" xr:uid="{04756468-C8F3-4DB6-9613-07BF1EE00970}">
    <sortState xmlns:xlrd2="http://schemas.microsoft.com/office/spreadsheetml/2017/richdata2" ref="A2:E52">
      <sortCondition ref="B1:B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EF596-DFF0-4BE6-8719-BB107EF070A8}">
  <dimension ref="A1:AZ4"/>
  <sheetViews>
    <sheetView workbookViewId="0">
      <pane xSplit="1" ySplit="1" topLeftCell="B2" activePane="bottomRight" state="frozen"/>
      <selection pane="bottomRight" activeCell="B2" sqref="B2"/>
      <selection pane="bottomLeft" activeCell="A2" sqref="A2"/>
      <selection pane="topRight" activeCell="B1" sqref="B1"/>
    </sheetView>
  </sheetViews>
  <sheetFormatPr defaultRowHeight="14.45"/>
  <cols>
    <col min="1" max="1" width="10.85546875" bestFit="1" customWidth="1"/>
    <col min="2" max="2" width="9" bestFit="1" customWidth="1"/>
    <col min="6" max="6" width="9.7109375" bestFit="1" customWidth="1"/>
    <col min="8" max="8" width="11.42578125" bestFit="1" customWidth="1"/>
    <col min="20" max="20" width="9.7109375" bestFit="1" customWidth="1"/>
    <col min="25" max="25" width="10.28515625" bestFit="1" customWidth="1"/>
    <col min="26" max="26" width="11.140625" bestFit="1" customWidth="1"/>
    <col min="27" max="27" width="8.7109375" bestFit="1" customWidth="1"/>
    <col min="29" max="29" width="9.5703125" bestFit="1" customWidth="1"/>
    <col min="30" max="30" width="7.7109375" bestFit="1" customWidth="1"/>
    <col min="31" max="31" width="15.140625" bestFit="1" customWidth="1"/>
    <col min="32" max="32" width="10.5703125" bestFit="1" customWidth="1"/>
    <col min="33" max="33" width="11.42578125" bestFit="1" customWidth="1"/>
    <col min="35" max="35" width="14.140625" bestFit="1" customWidth="1"/>
    <col min="36" max="36" width="12.7109375" bestFit="1" customWidth="1"/>
    <col min="37" max="37" width="5.28515625" bestFit="1" customWidth="1"/>
    <col min="38" max="38" width="10.28515625" bestFit="1" customWidth="1"/>
    <col min="39" max="39" width="7.42578125" bestFit="1" customWidth="1"/>
    <col min="40" max="40" width="12.7109375" bestFit="1" customWidth="1"/>
    <col min="41" max="41" width="12.5703125" bestFit="1" customWidth="1"/>
    <col min="42" max="42" width="14.140625" bestFit="1" customWidth="1"/>
    <col min="43" max="43" width="12.7109375" bestFit="1" customWidth="1"/>
    <col min="44" max="44" width="10.28515625" bestFit="1" customWidth="1"/>
    <col min="45" max="45" width="6" bestFit="1" customWidth="1"/>
    <col min="46" max="46" width="5.140625" bestFit="1" customWidth="1"/>
    <col min="48" max="48" width="7.85546875" bestFit="1" customWidth="1"/>
    <col min="49" max="49" width="11.5703125" bestFit="1" customWidth="1"/>
    <col min="50" max="50" width="12.5703125" bestFit="1" customWidth="1"/>
    <col min="51" max="51" width="10.28515625" bestFit="1" customWidth="1"/>
  </cols>
  <sheetData>
    <row r="1" spans="1:52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>
      <c r="A2" t="s">
        <v>2</v>
      </c>
      <c r="B2" s="1">
        <v>0.64</v>
      </c>
      <c r="C2" s="1">
        <v>0.72</v>
      </c>
      <c r="D2" s="1">
        <v>0.67</v>
      </c>
      <c r="E2" s="1">
        <v>0.66</v>
      </c>
      <c r="F2" s="1">
        <v>0.63</v>
      </c>
      <c r="G2" s="1">
        <v>0.68</v>
      </c>
      <c r="H2" s="1">
        <v>0.64</v>
      </c>
      <c r="I2" s="1">
        <v>0.64</v>
      </c>
      <c r="J2" s="1">
        <v>0.66</v>
      </c>
      <c r="K2" s="1">
        <v>0.63</v>
      </c>
      <c r="L2" s="1">
        <v>0.62</v>
      </c>
      <c r="M2" s="1">
        <v>0.73</v>
      </c>
      <c r="N2" s="1">
        <v>0.67</v>
      </c>
      <c r="O2" s="1">
        <v>0.63</v>
      </c>
      <c r="P2" s="1">
        <v>0.62</v>
      </c>
      <c r="Q2" s="1">
        <v>0.68</v>
      </c>
      <c r="R2" s="1">
        <v>0.66</v>
      </c>
      <c r="S2" s="1">
        <v>0.63</v>
      </c>
      <c r="T2" s="1">
        <v>0.66</v>
      </c>
      <c r="U2" s="1">
        <v>0.68</v>
      </c>
      <c r="V2" s="1">
        <v>0.6</v>
      </c>
      <c r="W2" s="1">
        <v>0.62</v>
      </c>
      <c r="X2" s="1">
        <v>0.67</v>
      </c>
      <c r="Y2" s="1">
        <v>0.68</v>
      </c>
      <c r="Z2" s="1">
        <v>0.67</v>
      </c>
      <c r="AA2" s="1">
        <v>0.68</v>
      </c>
      <c r="AB2" s="1">
        <v>0.73</v>
      </c>
      <c r="AC2" s="1">
        <v>0.7</v>
      </c>
      <c r="AD2" s="1">
        <v>0.67</v>
      </c>
      <c r="AE2" s="1">
        <v>0.67</v>
      </c>
      <c r="AF2" s="1">
        <v>0.63</v>
      </c>
      <c r="AG2" s="1">
        <v>0.67</v>
      </c>
      <c r="AH2" s="1">
        <v>0.63</v>
      </c>
      <c r="AI2" s="1">
        <v>0.66</v>
      </c>
      <c r="AJ2" s="1">
        <v>0.69</v>
      </c>
      <c r="AK2" s="1">
        <v>0.65</v>
      </c>
      <c r="AL2" s="1">
        <v>0.71</v>
      </c>
      <c r="AM2" s="1">
        <v>0.69</v>
      </c>
      <c r="AN2" s="1">
        <v>0.62</v>
      </c>
      <c r="AO2" s="1">
        <v>0.63</v>
      </c>
      <c r="AP2" s="1">
        <v>0.66</v>
      </c>
      <c r="AQ2" s="1">
        <v>0.75</v>
      </c>
      <c r="AR2" s="1">
        <v>0.65</v>
      </c>
      <c r="AS2" s="1">
        <v>0.67</v>
      </c>
      <c r="AT2" s="1">
        <v>0.66</v>
      </c>
      <c r="AU2" s="1">
        <v>0.7</v>
      </c>
      <c r="AV2" s="1">
        <v>0.63</v>
      </c>
      <c r="AW2" s="1">
        <v>0.68</v>
      </c>
      <c r="AX2" s="1">
        <v>0.65</v>
      </c>
      <c r="AY2" s="1">
        <v>0.66</v>
      </c>
      <c r="AZ2" s="1">
        <v>0.69</v>
      </c>
    </row>
    <row r="3" spans="1:52">
      <c r="A3" t="s">
        <v>3</v>
      </c>
      <c r="B3" s="1">
        <v>0.24</v>
      </c>
      <c r="C3" s="1">
        <v>0.15</v>
      </c>
      <c r="D3" s="1">
        <v>0.19</v>
      </c>
      <c r="E3" s="1">
        <v>0.21</v>
      </c>
      <c r="F3" s="1">
        <v>0.21</v>
      </c>
      <c r="G3" s="1">
        <v>0.17</v>
      </c>
      <c r="H3" s="1">
        <v>0.22</v>
      </c>
      <c r="I3" s="1">
        <v>0.23</v>
      </c>
      <c r="J3" s="1">
        <v>0.17</v>
      </c>
      <c r="K3" s="1">
        <v>0.23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0.2</v>
      </c>
      <c r="S3" s="1">
        <v>0.23</v>
      </c>
      <c r="T3" s="1">
        <v>0.21</v>
      </c>
      <c r="U3" s="1">
        <v>0.19</v>
      </c>
      <c r="V3" s="1">
        <v>0.25</v>
      </c>
      <c r="W3" s="1">
        <v>0.21</v>
      </c>
      <c r="X3" s="1">
        <v>0.21</v>
      </c>
      <c r="Y3" s="1">
        <v>0.19</v>
      </c>
      <c r="Z3" s="1">
        <v>0.21</v>
      </c>
      <c r="AA3" s="1">
        <v>0.19</v>
      </c>
      <c r="AB3" s="1">
        <v>0.15</v>
      </c>
      <c r="AC3" s="1">
        <v>0.18</v>
      </c>
      <c r="AD3" s="1">
        <v>0.2</v>
      </c>
      <c r="AE3" s="1">
        <v>0.2</v>
      </c>
      <c r="AF3" s="1">
        <v>0.21</v>
      </c>
      <c r="AG3" s="1">
        <v>0.19</v>
      </c>
      <c r="AH3" s="1">
        <v>0.21</v>
      </c>
      <c r="AI3" s="1">
        <v>0.22</v>
      </c>
      <c r="AJ3" s="1">
        <v>0.19</v>
      </c>
      <c r="AK3" s="1">
        <v>0.22</v>
      </c>
      <c r="AL3" s="1">
        <v>0.18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>
      <c r="A4" t="s">
        <v>4</v>
      </c>
      <c r="B4" s="1">
        <v>0.12</v>
      </c>
      <c r="C4" s="1">
        <v>0.13</v>
      </c>
      <c r="D4" s="1">
        <v>0.14000000000000001</v>
      </c>
      <c r="E4" s="1">
        <v>0.13</v>
      </c>
      <c r="F4" s="1">
        <v>0.16</v>
      </c>
      <c r="G4" s="1">
        <v>0.15</v>
      </c>
      <c r="H4" s="1">
        <v>0.14000000000000001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0.14000000000000001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0.12</v>
      </c>
      <c r="Y4" s="1">
        <v>0.13</v>
      </c>
      <c r="Z4" s="1">
        <v>0.12</v>
      </c>
      <c r="AA4" s="1">
        <v>0.13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0.13</v>
      </c>
      <c r="AL4" s="1">
        <v>0.11</v>
      </c>
      <c r="AM4" s="1">
        <v>0.13</v>
      </c>
      <c r="AN4" s="1">
        <v>0.15</v>
      </c>
      <c r="AO4" s="1">
        <v>0.14000000000000001</v>
      </c>
      <c r="AP4" s="1">
        <v>0.12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0.14000000000000001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DE65-6032-4557-8A67-65F6419043A0}">
  <dimension ref="A1:D26"/>
  <sheetViews>
    <sheetView tabSelected="1" workbookViewId="0">
      <selection activeCell="A15" sqref="A15"/>
    </sheetView>
  </sheetViews>
  <sheetFormatPr defaultRowHeight="14.45"/>
  <cols>
    <col min="1" max="1" width="12.42578125" bestFit="1" customWidth="1"/>
    <col min="2" max="2" width="16.42578125" bestFit="1" customWidth="1"/>
    <col min="3" max="3" width="15.5703125" bestFit="1" customWidth="1"/>
  </cols>
  <sheetData>
    <row r="1" spans="1:4">
      <c r="A1" t="s">
        <v>59</v>
      </c>
      <c r="B1" t="s">
        <v>60</v>
      </c>
      <c r="C1" t="s">
        <v>2</v>
      </c>
      <c r="D1" t="s">
        <v>3</v>
      </c>
    </row>
    <row r="2" spans="1:4">
      <c r="A2" t="s">
        <v>55</v>
      </c>
      <c r="B2" t="s">
        <v>61</v>
      </c>
      <c r="C2" s="5">
        <f>VLOOKUP('sales region lookup'!A2, '[1] by search term'!B:C, 2, FALSE)</f>
        <v>0.68</v>
      </c>
      <c r="D2" s="5">
        <f>_xlfn.XLOOKUP(A2, '[1] by search term'!B1:B52, '[1] by search term'!D1:D52, "not found")</f>
        <v>0.18</v>
      </c>
    </row>
    <row r="3" spans="1:4">
      <c r="A3" t="s">
        <v>45</v>
      </c>
      <c r="B3" t="s">
        <v>61</v>
      </c>
      <c r="C3" s="5">
        <f>VLOOKUP('sales region lookup'!A3, '[1] by search term'!B:C, 2, FALSE)</f>
        <v>0.69</v>
      </c>
      <c r="D3" s="5">
        <f>_xlfn.XLOOKUP(A3, '[1] by search term'!B2:B53, '[1] by search term'!D2:D53, "not found")</f>
        <v>0.18</v>
      </c>
    </row>
    <row r="4" spans="1:4">
      <c r="A4" t="s">
        <v>20</v>
      </c>
      <c r="B4" t="s">
        <v>61</v>
      </c>
      <c r="C4" s="5">
        <f>VLOOKUP('sales region lookup'!A4, '[1] by search term'!B:C, 2, FALSE)</f>
        <v>0.67</v>
      </c>
      <c r="D4" s="5">
        <f>_xlfn.XLOOKUP(A4, '[1] by search term'!B3:B54, '[1] by search term'!D3:D54, "not found")</f>
        <v>0.2</v>
      </c>
    </row>
    <row r="5" spans="1:4">
      <c r="A5" t="s">
        <v>34</v>
      </c>
      <c r="B5" t="s">
        <v>61</v>
      </c>
      <c r="C5" s="5">
        <f>VLOOKUP('sales region lookup'!A5, '[1] by search term'!B:C, 2, FALSE)</f>
        <v>0.73</v>
      </c>
      <c r="D5" s="5">
        <f>_xlfn.XLOOKUP(A5, '[1] by search term'!B4:B55, '[1] by search term'!D4:D55, "not found")</f>
        <v>0.15</v>
      </c>
    </row>
    <row r="6" spans="1:4">
      <c r="A6" t="s">
        <v>42</v>
      </c>
      <c r="B6" t="s">
        <v>62</v>
      </c>
      <c r="C6" s="5">
        <f>VLOOKUP('sales region lookup'!A6, '[1] by search term'!B:C, 2, FALSE)</f>
        <v>0.69</v>
      </c>
      <c r="D6" s="5">
        <f>_xlfn.XLOOKUP(A6, '[1] by search term'!B5:B56, '[1] by search term'!D5:D56, "not found")</f>
        <v>0.19</v>
      </c>
    </row>
    <row r="7" spans="1:4">
      <c r="A7" t="s">
        <v>49</v>
      </c>
      <c r="B7" t="s">
        <v>62</v>
      </c>
      <c r="C7" s="5">
        <f>VLOOKUP('sales region lookup'!A7, '[1] by search term'!B:C, 2, FALSE)</f>
        <v>0.75</v>
      </c>
      <c r="D7" s="5">
        <f>_xlfn.XLOOKUP(A7, '[1] by search term'!B6:B57, '[1] by search term'!D6:D57, "not found")</f>
        <v>0.14000000000000001</v>
      </c>
    </row>
    <row r="8" spans="1:4">
      <c r="A8" t="s">
        <v>35</v>
      </c>
      <c r="B8" t="s">
        <v>62</v>
      </c>
      <c r="C8" s="5">
        <f>VLOOKUP('sales region lookup'!A8, '[1] by search term'!B:C, 2, FALSE)</f>
        <v>0.7</v>
      </c>
      <c r="D8" s="5">
        <f>_xlfn.XLOOKUP(A8, '[1] by search term'!B7:B58, '[1] by search term'!D7:D58, "not found")</f>
        <v>0.18</v>
      </c>
    </row>
    <row r="9" spans="1:4">
      <c r="A9" t="s">
        <v>31</v>
      </c>
      <c r="B9" t="s">
        <v>62</v>
      </c>
      <c r="C9" s="5">
        <f>VLOOKUP('sales region lookup'!A9, '[1] by search term'!B:C, 2, FALSE)</f>
        <v>0.68</v>
      </c>
      <c r="D9" s="5">
        <f>_xlfn.XLOOKUP(A9, '[1] by search term'!B8:B59, '[1] by search term'!D8:D59, "not found")</f>
        <v>0.19</v>
      </c>
    </row>
    <row r="10" spans="1:4">
      <c r="A10" t="s">
        <v>57</v>
      </c>
      <c r="B10" t="s">
        <v>62</v>
      </c>
      <c r="C10" s="5">
        <f>VLOOKUP('sales region lookup'!A10, '[1] by search term'!B:C, 2, FALSE)</f>
        <v>0.66</v>
      </c>
      <c r="D10" s="5">
        <f>_xlfn.XLOOKUP(A10, '[1] by search term'!B9:B60, '[1] by search term'!D9:D60, "not found")</f>
        <v>0.2</v>
      </c>
    </row>
    <row r="11" spans="1:4">
      <c r="A11" t="s">
        <v>30</v>
      </c>
      <c r="B11" t="s">
        <v>62</v>
      </c>
      <c r="C11" s="5">
        <f>VLOOKUP('sales region lookup'!A11, '[1] by search term'!B:C, 2, FALSE)</f>
        <v>0.67</v>
      </c>
      <c r="D11" s="5">
        <f>_xlfn.XLOOKUP(A11, '[1] by search term'!B10:B61, '[1] by search term'!D10:D61, "not found")</f>
        <v>0.21</v>
      </c>
    </row>
    <row r="13" spans="1:4">
      <c r="A13" s="6" t="s">
        <v>60</v>
      </c>
      <c r="B13" t="s">
        <v>63</v>
      </c>
    </row>
    <row r="15" spans="1:4">
      <c r="A15" s="6" t="s">
        <v>64</v>
      </c>
      <c r="B15" t="s">
        <v>65</v>
      </c>
      <c r="C15" t="s">
        <v>66</v>
      </c>
    </row>
    <row r="16" spans="1:4">
      <c r="A16" s="7" t="s">
        <v>20</v>
      </c>
      <c r="B16" s="1">
        <v>0.67</v>
      </c>
      <c r="C16" s="1">
        <v>0.2</v>
      </c>
    </row>
    <row r="17" spans="1:3">
      <c r="A17" s="7" t="s">
        <v>30</v>
      </c>
      <c r="B17" s="1">
        <v>0.67</v>
      </c>
      <c r="C17" s="1">
        <v>0.21</v>
      </c>
    </row>
    <row r="18" spans="1:3">
      <c r="A18" s="7" t="s">
        <v>31</v>
      </c>
      <c r="B18" s="1">
        <v>0.68</v>
      </c>
      <c r="C18" s="1">
        <v>0.19</v>
      </c>
    </row>
    <row r="19" spans="1:3">
      <c r="A19" s="7" t="s">
        <v>34</v>
      </c>
      <c r="B19" s="1">
        <v>0.73</v>
      </c>
      <c r="C19" s="1">
        <v>0.15</v>
      </c>
    </row>
    <row r="20" spans="1:3">
      <c r="A20" s="7" t="s">
        <v>35</v>
      </c>
      <c r="B20" s="1">
        <v>0.7</v>
      </c>
      <c r="C20" s="1">
        <v>0.18</v>
      </c>
    </row>
    <row r="21" spans="1:3">
      <c r="A21" s="7" t="s">
        <v>42</v>
      </c>
      <c r="B21" s="1">
        <v>0.69</v>
      </c>
      <c r="C21" s="1">
        <v>0.19</v>
      </c>
    </row>
    <row r="22" spans="1:3">
      <c r="A22" s="7" t="s">
        <v>45</v>
      </c>
      <c r="B22" s="1">
        <v>0.69</v>
      </c>
      <c r="C22" s="1">
        <v>0.18</v>
      </c>
    </row>
    <row r="23" spans="1:3">
      <c r="A23" s="7" t="s">
        <v>49</v>
      </c>
      <c r="B23" s="1">
        <v>0.75</v>
      </c>
      <c r="C23" s="1">
        <v>0.14000000000000001</v>
      </c>
    </row>
    <row r="24" spans="1:3">
      <c r="A24" s="7" t="s">
        <v>55</v>
      </c>
      <c r="B24" s="1">
        <v>0.68</v>
      </c>
      <c r="C24" s="1">
        <v>0.18</v>
      </c>
    </row>
    <row r="25" spans="1:3">
      <c r="A25" s="7" t="s">
        <v>57</v>
      </c>
      <c r="B25" s="1">
        <v>0.66</v>
      </c>
      <c r="C25" s="1">
        <v>0.2</v>
      </c>
    </row>
    <row r="26" spans="1:3">
      <c r="A26" s="7" t="s">
        <v>67</v>
      </c>
      <c r="B26" s="1">
        <v>6.92</v>
      </c>
      <c r="C26" s="1">
        <v>1.8199999999999998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44a867c53620602b95c719ed84922ec5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6e19629f965acf6c6a9affc8035138fe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CCD296-6D00-4581-8331-4E0324AFB23D}"/>
</file>

<file path=customXml/itemProps2.xml><?xml version="1.0" encoding="utf-8"?>
<ds:datastoreItem xmlns:ds="http://schemas.openxmlformats.org/officeDocument/2006/customXml" ds:itemID="{344B5E17-8697-4A03-8209-B01BE8F38B31}"/>
</file>

<file path=customXml/itemProps3.xml><?xml version="1.0" encoding="utf-8"?>
<ds:datastoreItem xmlns:ds="http://schemas.openxmlformats.org/officeDocument/2006/customXml" ds:itemID="{BD991CEA-FDA1-40BD-9333-EB5B33534D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2026-04-10T17:06:13Z</dcterms:created>
  <dcterms:modified xsi:type="dcterms:W3CDTF">2026-04-12T21:23:09Z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